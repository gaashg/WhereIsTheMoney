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" autoFilterDateGrouping="1"/>
  </bookViews>
  <sheets>
    <sheet name="גיליון2" sheetId="1" state="visible" r:id="rId1"/>
    <sheet name="גיליון1" sheetId="2" state="visible" r:id="rId2"/>
  </sheets>
  <definedNames/>
  <calcPr calcId="191029" fullCalcOnLoad="1"/>
  <pivotCaches>
    <pivotCache cacheId="6" r:id="rId3"/>
  </pivotCaches>
</workbook>
</file>

<file path=xl/styles.xml><?xml version="1.0" encoding="utf-8"?>
<styleSheet xmlns="http://schemas.openxmlformats.org/spreadsheetml/2006/main">
  <numFmts count="1">
    <numFmt numFmtId="164" formatCode="[$-1010000]d/m/yy;@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color theme="1"/>
      <sz val="12"/>
    </font>
    <font>
      <name val="Calibri"/>
      <family val="2"/>
      <sz val="8"/>
      <scheme val="minor"/>
    </font>
    <font>
      <name val="Arial"/>
      <family val="2"/>
      <b val="1"/>
      <color theme="0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 style="thin">
        <color theme="4" tint="0.3999755851924192"/>
      </right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20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5" fillId="2" borderId="4" pivotButton="0" quotePrefix="0" xfId="0"/>
    <xf numFmtId="0" fontId="5" fillId="2" borderId="0" pivotButton="0" quotePrefix="0" xfId="0"/>
    <xf numFmtId="0" fontId="5" fillId="2" borderId="5" pivotButton="0" quotePrefix="0" xfId="0"/>
    <xf numFmtId="4" fontId="3" fillId="0" borderId="1" applyAlignment="1" pivotButton="0" quotePrefix="0" xfId="1">
      <alignment horizontal="center" vertical="center"/>
    </xf>
    <xf numFmtId="164" fontId="3" fillId="0" borderId="3" applyAlignment="1" pivotButton="0" quotePrefix="0" xfId="1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center" vertical="center"/>
    </xf>
    <xf numFmtId="0" fontId="1" fillId="3" borderId="0" pivotButton="0" quotePrefix="0" xfId="0"/>
    <xf numFmtId="4" fontId="0" fillId="3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5" fillId="2" borderId="6" pivotButton="0" quotePrefix="0" xfId="0"/>
  </cellXfs>
  <cellStyles count="3">
    <cellStyle name="Normal" xfId="0" builtinId="0"/>
    <cellStyle name="Normal 2" xfId="1"/>
    <cellStyle name="Normal 3" xfId="2"/>
  </cellStyles>
  <dxfs count="20"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4" formatCode="#,##0.00"/>
      <alignment horizontal="center" vertical="center"/>
      <border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4" formatCode="#,##0.00"/>
      <alignment horizontal="center" vertical="center"/>
      <border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[$-1010000]d/m/yy;@"/>
      <alignment horizontal="center" vertical="center"/>
      <border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numFmt numFmtId="4" formatCode="#,##0.00"/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color theme="1"/>
        <sz val="12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4" formatCode="#,##0.00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color theme="1"/>
        <sz val="12"/>
      </font>
      <numFmt numFmtId="4" formatCode="#,##0.00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color theme="1"/>
        <sz val="12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[$-1010000]d/m/yy;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theme="4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</dxf>
    <dxf>
      <numFmt numFmtId="4" formatCode="#,##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TGs" refreshedDate="46280.53758506945" createdVersion="8" refreshedVersion="8" minRefreshableVersion="3" recordCount="54" r:id="rId1">
  <cacheSource type="worksheet">
    <worksheetSource name="טבלה2"/>
  </cacheSource>
  <cacheFields count="8">
    <cacheField name="תאריך רכישה" uniqueList="1" numFmtId="0" sqlType="0" hierarchy="0" level="0" databaseField="1">
      <sharedItems count="0" containsBlank="1" containsDate="1" containsMixedTypes="1" minDate="2024-07-12T00:00:00" maxDate="2024-10-21T00:00:00"/>
    </cacheField>
    <cacheField name="שם בית עסק" uniqueList="1" numFmtId="0" sqlType="0" hierarchy="0" level="0" databaseField="1">
      <sharedItems count="0"/>
    </cacheField>
    <cacheField name="סכום עסקה" uniqueList="1" numFmtId="4" sqlType="0" hierarchy="0" level="0" databaseField="1">
      <sharedItems count="0" containsNumber="1" containsSemiMixedTypes="0" containsString="0" minValue="3.9" maxValue="1500"/>
    </cacheField>
    <cacheField name="סכום חיוב" uniqueList="1" numFmtId="4" sqlType="0" hierarchy="0" level="0" databaseField="1">
      <sharedItems count="0" containsNumber="1" containsSemiMixedTypes="0" containsString="0" minValue="3.9" maxValue="1500"/>
    </cacheField>
    <cacheField name="פירוט נוסף" uniqueList="1" numFmtId="0" sqlType="0" hierarchy="0" level="0" databaseField="1">
      <sharedItems count="0" containsBlank="1"/>
    </cacheField>
    <cacheField name="תחום 1" uniqueList="1" numFmtId="0" sqlType="0" hierarchy="0" level="0" databaseField="1">
      <sharedItems count="14">
        <s v="מזומן"/>
        <s v="תקשורת"/>
        <s v="דירה"/>
        <s v="תספורות"/>
        <s v="אוכל"/>
        <s v="פנאי"/>
        <s v="ביטוח"/>
        <s v="חינוך"/>
        <s v="חניה"/>
        <s v="מוצרי חשמל"/>
        <s v="טואלטיקה"/>
        <s v="חוגים"/>
        <s v="ביט"/>
        <s v="פנסיה" u="1"/>
      </sharedItems>
    </cacheField>
    <cacheField name="תחום 2" uniqueList="1" numFmtId="0" sqlType="0" hierarchy="0" level="0" databaseField="1">
      <sharedItems count="20" containsBlank="1">
        <m/>
        <s v="טלוויזיה"/>
        <s v="טלפון"/>
        <s v="שכ&quot;ד"/>
        <s v="ועד בית"/>
        <s v="חצי חינם"/>
        <s v="מש&quot;צים"/>
        <s v="רפואה"/>
        <s v="אינטרנט"/>
        <s v="אקס בוקס"/>
        <s v="רכב"/>
        <s v="טושים"/>
        <s v="פנאי"/>
        <s v="יצירה"/>
        <s v="AMPM"/>
        <s v="מייבש"/>
        <s v="לחם"/>
        <s v="מכולת"/>
        <s v="בשר"/>
        <s v="גילי"/>
      </sharedItems>
    </cacheField>
    <cacheField name="תחום 3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54">
  <r>
    <m/>
    <s v="הוצאות במזומן"/>
    <n v="400"/>
    <n v="400"/>
    <m/>
    <x v="0"/>
    <x v="0"/>
    <m/>
  </r>
  <r>
    <d v="2024-11-02T00:00:00"/>
    <s v="NETFLIX COM"/>
    <n v="54.9"/>
    <n v="54.9"/>
    <m/>
    <x v="1"/>
    <x v="1"/>
    <s v="נטפליקס"/>
  </r>
  <r>
    <d v="2024-11-02T00:00:00"/>
    <s v="APPLE.COM/BILL"/>
    <n v="3.9"/>
    <n v="3.9"/>
    <m/>
    <x v="1"/>
    <x v="2"/>
    <m/>
  </r>
  <r>
    <d v="2024-11-02T00:00:00"/>
    <s v="שכ&quot;ד"/>
    <n v="1500"/>
    <n v="1500"/>
    <m/>
    <x v="2"/>
    <x v="3"/>
    <m/>
  </r>
  <r>
    <m/>
    <s v="תספורות"/>
    <n v="210"/>
    <n v="210"/>
    <m/>
    <x v="3"/>
    <x v="0"/>
    <m/>
  </r>
  <r>
    <n v="45606"/>
    <s v="ועד בית"/>
    <n v="250"/>
    <n v="250"/>
    <m/>
    <x v="2"/>
    <x v="4"/>
    <m/>
  </r>
  <r>
    <n v="45587"/>
    <s v="מרכבה 45A (חצי חינם)"/>
    <n v="123"/>
    <n v="123"/>
    <m/>
    <x v="4"/>
    <x v="5"/>
    <s v="כללי"/>
  </r>
  <r>
    <d v="2024-10-20T00:00:00"/>
    <s v="HOT mobile הו&quot;ק"/>
    <n v="166.4"/>
    <n v="166.4"/>
    <s v="הוראת קבע"/>
    <x v="1"/>
    <x v="2"/>
    <m/>
  </r>
  <r>
    <d v="2024-08-21T00:00:00"/>
    <s v="למטייל ראשון לציון"/>
    <n v="321"/>
    <n v="321"/>
    <s v="תשלום 3 מתוך 5"/>
    <x v="5"/>
    <x v="6"/>
    <m/>
  </r>
  <r>
    <d v="2024-10-20T00:00:00"/>
    <s v="מגדל חיים/בריאות"/>
    <n v="75"/>
    <n v="75"/>
    <s v="הוראת קבע"/>
    <x v="6"/>
    <x v="7"/>
    <m/>
  </r>
  <r>
    <d v="2024-10-06T00:00:00"/>
    <s v="נטוויז'ן-סלקום"/>
    <n v="40"/>
    <n v="40"/>
    <s v="הוראת קבע"/>
    <x v="1"/>
    <x v="8"/>
    <m/>
  </r>
  <r>
    <d v="2024-09-20T00:00:00"/>
    <s v="PAYPAL *MICROSOFT"/>
    <n v="100"/>
    <n v="100"/>
    <m/>
    <x v="5"/>
    <x v="9"/>
    <s v="משחקים"/>
  </r>
  <r>
    <d v="2024-09-15T00:00:00"/>
    <s v="מקוה ישראל כל ישראל חברים"/>
    <n v="20"/>
    <n v="20"/>
    <s v="תשלום 2 מתוך 9"/>
    <x v="7"/>
    <x v="0"/>
    <m/>
  </r>
  <r>
    <d v="2024-09-15T00:00:00"/>
    <s v="PP*FASTSPRING"/>
    <n v="37.79"/>
    <n v="12.59"/>
    <s v="תשלום 1 מתוך 3"/>
    <x v="5"/>
    <x v="2"/>
    <s v="משחקים"/>
  </r>
  <r>
    <d v="2024-09-11T00:00:00"/>
    <s v="PAYPAL *MICROSOFT"/>
    <n v="413.1"/>
    <n v="413.1"/>
    <m/>
    <x v="5"/>
    <x v="9"/>
    <s v="Game Pass Core"/>
  </r>
  <r>
    <d v="2024-09-07T00:00:00"/>
    <s v="Disney Plus"/>
    <n v="44.9"/>
    <n v="44.9"/>
    <s v="הוראת קבע"/>
    <x v="1"/>
    <x v="1"/>
    <s v="דיסני"/>
  </r>
  <r>
    <d v="2024-09-06T00:00:00"/>
    <s v="PP*FASTSPRING"/>
    <n v="44.9"/>
    <n v="14.96"/>
    <s v="תשלום 1 מתוך 3"/>
    <x v="5"/>
    <x v="2"/>
    <s v="משחקים"/>
  </r>
  <r>
    <d v="2024-09-05T00:00:00"/>
    <s v="PP*FASTSPRING"/>
    <n v="37.41"/>
    <n v="12.47"/>
    <s v="תשלום 1 מתוך 3"/>
    <x v="5"/>
    <x v="2"/>
    <s v="משחקים"/>
  </r>
  <r>
    <d v="2024-09-03T00:00:00"/>
    <s v="APPLE.COM/BILL"/>
    <n v="3.9"/>
    <n v="3.9"/>
    <m/>
    <x v="1"/>
    <x v="2"/>
    <m/>
  </r>
  <r>
    <d v="2024-08-27T00:00:00"/>
    <s v="AMAZON MARK* R49WM7RP0"/>
    <n v="64.01000000000001"/>
    <n v="21.34"/>
    <s v="תשלום 2 מתוך 3"/>
    <x v="5"/>
    <x v="9"/>
    <s v="תיקון בקרים"/>
  </r>
  <r>
    <d v="2024-08-25T00:00:00"/>
    <s v="PAYPAL *ALIPAY EUR"/>
    <n v="16.32"/>
    <n v="5.44"/>
    <s v="תשלום 2 מתוך 3"/>
    <x v="5"/>
    <x v="9"/>
    <s v="תיקון בקרים"/>
  </r>
  <r>
    <d v="2024-08-22T00:00:00"/>
    <s v="PP*FASTSPRING"/>
    <n v="37.41"/>
    <n v="12.47"/>
    <s v="תשלום 2 מתוך 3"/>
    <x v="5"/>
    <x v="2"/>
    <s v="משחקים"/>
  </r>
  <r>
    <d v="2024-07-30T00:00:00"/>
    <s v="כלל ביטוח חובה"/>
    <n v="52"/>
    <n v="52"/>
    <s v="תשלום 4 מתוך 12"/>
    <x v="6"/>
    <x v="10"/>
    <s v="חובה"/>
  </r>
  <r>
    <d v="2024-07-29T00:00:00"/>
    <s v="כלל רכב/דירה/עסק"/>
    <n v="25"/>
    <n v="25"/>
    <s v="תשלום 4 מתוך 5"/>
    <x v="6"/>
    <x v="10"/>
    <s v="מקיף"/>
  </r>
  <r>
    <d v="2024-07-12T00:00:00"/>
    <s v="PAYPAL *ALIPAY EUR"/>
    <n v="91.62"/>
    <n v="30.54"/>
    <s v="תשלום 3 מתוך 3"/>
    <x v="5"/>
    <x v="11"/>
    <m/>
  </r>
  <r>
    <s v="18/10/2024"/>
    <s v="גולדה תל אביב"/>
    <n v="32"/>
    <n v="32"/>
    <m/>
    <x v="4"/>
    <x v="12"/>
    <s v="גלידה"/>
  </r>
  <r>
    <s v="19/10/2024"/>
    <s v="אחוזות החוף - חניון"/>
    <n v="30"/>
    <n v="30"/>
    <m/>
    <x v="8"/>
    <x v="12"/>
    <m/>
  </r>
  <r>
    <s v="20/10/2024"/>
    <s v="מאי - ארט"/>
    <n v="84"/>
    <n v="84"/>
    <m/>
    <x v="5"/>
    <x v="13"/>
    <m/>
  </r>
  <r>
    <s v="20/10/2024"/>
    <s v="אי אם פי אם דיזנגוף"/>
    <n v="13.9"/>
    <n v="13.9"/>
    <m/>
    <x v="4"/>
    <x v="14"/>
    <m/>
  </r>
  <r>
    <s v="21/10/2024"/>
    <s v="חניוני תל אביב"/>
    <n v="70"/>
    <n v="70"/>
    <m/>
    <x v="8"/>
    <x v="12"/>
    <m/>
  </r>
  <r>
    <s v="21/10/2024"/>
    <s v="אנגוס תל אביב"/>
    <n v="90"/>
    <n v="90"/>
    <m/>
    <x v="4"/>
    <x v="12"/>
    <s v="יום הולדת"/>
  </r>
  <r>
    <s v="30/07/2024"/>
    <s v="מחסני חשמל - אלקטרה"/>
    <n v="15"/>
    <n v="15"/>
    <s v="תשלום 4  מתוך 24"/>
    <x v="9"/>
    <x v="15"/>
    <m/>
  </r>
  <r>
    <s v="26/09/2024"/>
    <s v="חולון המשביר לצרכן ("/>
    <n v="433.93"/>
    <n v="86.7"/>
    <s v="תשלום 2  מתוך 5"/>
    <x v="10"/>
    <x v="0"/>
    <m/>
  </r>
  <r>
    <s v="27/09/2024"/>
    <s v="ניאושופ שיווק והפצה"/>
    <n v="249.4"/>
    <n v="83.13"/>
    <s v="תשלום 2  מתוך 3"/>
    <x v="10"/>
    <x v="0"/>
    <m/>
  </r>
  <r>
    <s v="09/10/2024"/>
    <s v="מאפה הבשן-צמרת"/>
    <n v="33.9"/>
    <n v="33.9"/>
    <m/>
    <x v="4"/>
    <x v="16"/>
    <m/>
  </r>
  <r>
    <s v="09/10/2024"/>
    <s v="מקדונלד'ס סינמה סיטי"/>
    <n v="39"/>
    <n v="39"/>
    <m/>
    <x v="4"/>
    <x v="12"/>
    <m/>
  </r>
  <r>
    <s v="09/10/2024"/>
    <s v="סופר עמנואל-צמרת"/>
    <n v="118.31"/>
    <n v="118.31"/>
    <m/>
    <x v="4"/>
    <x v="17"/>
    <m/>
  </r>
  <r>
    <s v="10/10/2024"/>
    <s v="שוקפירות וירקות חצי"/>
    <n v="65.26000000000001"/>
    <n v="65.26000000000001"/>
    <m/>
    <x v="4"/>
    <x v="5"/>
    <s v="פירות"/>
  </r>
  <r>
    <s v="10/10/2024"/>
    <s v="יציל-אלברטו מעדני בש"/>
    <n v="228.63"/>
    <n v="228.63"/>
    <m/>
    <x v="4"/>
    <x v="18"/>
    <m/>
  </r>
  <r>
    <s v="10/10/2024"/>
    <s v="חצי חינם מרכבה S 4 A"/>
    <n v="30"/>
    <n v="30"/>
    <m/>
    <x v="4"/>
    <x v="5"/>
    <m/>
  </r>
  <r>
    <s v="10/10/2024"/>
    <s v="רשת קהילה ופנאי חולו"/>
    <n v="12"/>
    <n v="12"/>
    <m/>
    <x v="11"/>
    <x v="19"/>
    <m/>
  </r>
  <r>
    <s v="10/10/2024"/>
    <s v="רשת קהילה ופנאי חולו"/>
    <n v="20"/>
    <n v="20"/>
    <m/>
    <x v="11"/>
    <x v="19"/>
    <m/>
  </r>
  <r>
    <s v="10/10/2024"/>
    <s v="רשת פיצה שמש בע&quot;מ"/>
    <n v="84"/>
    <n v="84"/>
    <m/>
    <x v="4"/>
    <x v="12"/>
    <m/>
  </r>
  <r>
    <s v="10/10/2024"/>
    <s v="לחמנינה"/>
    <n v="38"/>
    <n v="38"/>
    <m/>
    <x v="4"/>
    <x v="16"/>
    <m/>
  </r>
  <r>
    <s v="11/10/2024"/>
    <s v="קפה גן סיפור חולון"/>
    <n v="46"/>
    <n v="46"/>
    <m/>
    <x v="4"/>
    <x v="12"/>
    <m/>
  </r>
  <r>
    <s v="13/10/2024"/>
    <s v="לחם"/>
    <n v="27.5"/>
    <n v="27.5"/>
    <m/>
    <x v="4"/>
    <x v="16"/>
    <m/>
  </r>
  <r>
    <s v="14/10/2024"/>
    <s v="העברה ב BIT בנה&quot;פ"/>
    <n v="30"/>
    <n v="30"/>
    <m/>
    <x v="12"/>
    <x v="0"/>
    <m/>
  </r>
  <r>
    <s v="14/10/2024"/>
    <s v="מיכאלי מארקט"/>
    <n v="81.09999999999999"/>
    <n v="81.09999999999999"/>
    <m/>
    <x v="4"/>
    <x v="17"/>
    <m/>
  </r>
  <r>
    <s v="15/10/2024"/>
    <s v="שוקפירות וירקות חצי"/>
    <n v="121.71"/>
    <n v="121.71"/>
    <m/>
    <x v="4"/>
    <x v="5"/>
    <s v="פירות"/>
  </r>
  <r>
    <s v="15/10/2024"/>
    <s v="חצי חינם מרכבה S 4 A"/>
    <n v="50"/>
    <n v="50"/>
    <m/>
    <x v="4"/>
    <x v="5"/>
    <m/>
  </r>
  <r>
    <s v="15/10/2024"/>
    <s v="לחם"/>
    <n v="47.5"/>
    <n v="47.5"/>
    <m/>
    <x v="4"/>
    <x v="16"/>
    <m/>
  </r>
  <r>
    <s v="16/10/2024"/>
    <s v="יציל-אלברטו מעדני בש"/>
    <n v="263.38"/>
    <n v="263.38"/>
    <m/>
    <x v="4"/>
    <x v="18"/>
    <m/>
  </r>
  <r>
    <s v="16/10/2024"/>
    <s v="סופר יודה אפליקציה"/>
    <n v="96.12"/>
    <n v="96.12"/>
    <m/>
    <x v="4"/>
    <x v="17"/>
    <m/>
  </r>
  <r>
    <s v="16/10/2024"/>
    <s v="דליקטסן פנורמה"/>
    <n v="173.1"/>
    <n v="173.1"/>
    <m/>
    <x v="4"/>
    <x v="12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43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sd="1" x="4"/>
        <item t="data" sd="1" x="12"/>
        <item t="data" sd="1" x="6"/>
        <item t="data" sd="1" x="2"/>
        <item t="data" sd="1" x="11"/>
        <item t="data" sd="1" x="7"/>
        <item t="data" sd="1" x="8"/>
        <item t="data" sd="1" x="10"/>
        <item t="data" sd="1" x="9"/>
        <item t="data" sd="1" x="0"/>
        <item t="data" sd="1" x="5"/>
        <item t="data" sd="1" m="1" x="13"/>
        <item t="data" sd="1" x="3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1">
        <item t="data" sd="1" x="14"/>
        <item t="data" sd="1" x="8"/>
        <item t="data" sd="1" x="9"/>
        <item t="data" sd="1" x="18"/>
        <item t="data" sd="1" x="19"/>
        <item t="data" sd="1" x="4"/>
        <item t="data" sd="1" x="5"/>
        <item t="data" sd="1" x="11"/>
        <item t="data" sd="1" x="1"/>
        <item t="data" sd="1" x="2"/>
        <item t="data" sd="1" x="13"/>
        <item t="data" sd="1" x="16"/>
        <item t="data" sd="1" x="15"/>
        <item t="data" sd="1" x="17"/>
        <item t="data" sd="1" x="6"/>
        <item t="data" sd="1" x="12"/>
        <item t="data" sd="1" x="10"/>
        <item t="data" sd="1" x="7"/>
        <item t="data" sd="1" x="3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5"/>
    <field x="6"/>
  </rowFields>
  <rowItems count="40">
    <i t="data" r="0" i="0">
      <x v="0"/>
    </i>
    <i t="data" r="1" i="0">
      <x v="0"/>
    </i>
    <i t="data" r="1" i="0">
      <x v="3"/>
    </i>
    <i t="data" r="1" i="0">
      <x v="6"/>
    </i>
    <i t="data" r="1" i="0">
      <x v="11"/>
    </i>
    <i t="data" r="1" i="0">
      <x v="13"/>
    </i>
    <i t="data" r="1" i="0">
      <x v="15"/>
    </i>
    <i t="data" r="0" i="0">
      <x v="1"/>
    </i>
    <i t="data" r="1" i="0">
      <x v="19"/>
    </i>
    <i t="data" r="0" i="0">
      <x v="2"/>
    </i>
    <i t="data" r="1" i="0">
      <x v="16"/>
    </i>
    <i t="data" r="1" i="0">
      <x v="17"/>
    </i>
    <i t="data" r="0" i="0">
      <x v="3"/>
    </i>
    <i t="data" r="1" i="0">
      <x v="5"/>
    </i>
    <i t="data" r="1" i="0">
      <x v="18"/>
    </i>
    <i t="data" r="0" i="0">
      <x v="4"/>
    </i>
    <i t="data" r="1" i="0">
      <x v="4"/>
    </i>
    <i t="data" r="0" i="0">
      <x v="5"/>
    </i>
    <i t="data" r="1" i="0">
      <x v="19"/>
    </i>
    <i t="data" r="0" i="0">
      <x v="6"/>
    </i>
    <i t="data" r="1" i="0">
      <x v="15"/>
    </i>
    <i t="data" r="0" i="0">
      <x v="7"/>
    </i>
    <i t="data" r="1" i="0">
      <x v="19"/>
    </i>
    <i t="data" r="0" i="0">
      <x v="8"/>
    </i>
    <i t="data" r="1" i="0">
      <x v="12"/>
    </i>
    <i t="data" r="0" i="0">
      <x v="9"/>
    </i>
    <i t="data" r="1" i="0">
      <x v="19"/>
    </i>
    <i t="data" r="0" i="0">
      <x v="10"/>
    </i>
    <i t="data" r="1" i="0">
      <x v="2"/>
    </i>
    <i t="data" r="1" i="0">
      <x v="7"/>
    </i>
    <i t="data" r="1" i="0">
      <x v="9"/>
    </i>
    <i t="data" r="1" i="0">
      <x v="10"/>
    </i>
    <i t="data" r="1" i="0">
      <x v="14"/>
    </i>
    <i t="data" r="0" i="0">
      <x v="12"/>
    </i>
    <i t="data" r="1" i="0">
      <x v="19"/>
    </i>
    <i t="data" r="0" i="0">
      <x v="13"/>
    </i>
    <i t="data" r="1" i="0">
      <x v="1"/>
    </i>
    <i t="data" r="1" i="0">
      <x v="8"/>
    </i>
    <i t="data" r="1" i="0">
      <x v="9"/>
    </i>
    <i t="grand" r="0" i="0">
      <x v="0"/>
    </i>
  </rowItems>
  <colItems count="1">
    <i t="data" r="0" i="0"/>
  </colItems>
  <dataFields count="1">
    <dataField name="סכום של סכום חיוב" fld="3" subtotal="sum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טבלה1" displayName="טבלה1" ref="A4:B7" headerRowCount="1" totalsRowShown="0">
  <autoFilter ref="A4:B7"/>
  <tableColumns count="2">
    <tableColumn id="1" name="הכנסות"/>
    <tableColumn id="2" name="סכום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טבלה2" displayName="טבלה2" ref="A15:H17" headerRowCount="1" totalsRowCount="1" headerRowDxfId="18" headerRowBorderDxfId="17">
  <autoFilter ref="A15:H69">
    <filterColumn colId="5" hiddenButton="0" showButton="1">
      <filters>
        <filter val="אוכל"/>
      </filters>
    </filterColumn>
  </autoFilter>
  <tableColumns count="8">
    <tableColumn id="8" name="תאריך רכישה" dataDxfId="16" totalsRowDxfId="7" dataCellStyle="Normal 2"/>
    <tableColumn id="1" name="שם בית עסק" dataDxfId="15" totalsRowDxfId="6" dataCellStyle="Normal 2"/>
    <tableColumn id="2" name="סכום עסקה" dataDxfId="14" totalsRowDxfId="5" dataCellStyle="Normal 2"/>
    <tableColumn id="3" name="סכום חיוב" totalsRowFunction="sum" dataDxfId="13" totalsRowDxfId="4" dataCellStyle="Normal 2"/>
    <tableColumn id="4" name="פירוט נוסף" dataDxfId="12" totalsRowDxfId="3" dataCellStyle="Normal 2"/>
    <tableColumn id="5" name="תחום 1" dataDxfId="11" totalsRowDxfId="2" dataCellStyle="Normal 2"/>
    <tableColumn id="6" name="תחום 2" dataDxfId="10" totalsRowDxfId="1" dataCellStyle="Normal 2"/>
    <tableColumn id="7" name="תחום 3" dataDxfId="9" totalsRowDxfId="0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טבלה3" displayName="טבלה3" ref="A10:B12" headerRowCount="1" totalsRowShown="0">
  <autoFilter ref="A10:B12"/>
  <tableColumns count="2">
    <tableColumn id="1" name="יתרה"/>
    <tableColumn id="2" name="סכום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3"/>
  <sheetViews>
    <sheetView topLeftCell="A7" workbookViewId="0">
      <selection activeCell="A3" sqref="A3"/>
    </sheetView>
  </sheetViews>
  <sheetFormatPr baseColWidth="8" defaultRowHeight="14.4"/>
  <cols>
    <col width="12.44140625" bestFit="1" customWidth="1" min="1" max="1"/>
    <col width="15.6640625" bestFit="1" customWidth="1" min="2" max="2"/>
  </cols>
  <sheetData>
    <row r="3">
      <c r="A3" s="16" t="inlineStr">
        <is>
          <t>תוויות שורה</t>
        </is>
      </c>
      <c r="B3" t="inlineStr">
        <is>
          <t>סכום של סכום חיוב</t>
        </is>
      </c>
    </row>
    <row r="4">
      <c r="A4" s="17" t="inlineStr">
        <is>
          <t>אוכל</t>
        </is>
      </c>
      <c r="B4" t="n">
        <v>1802.41</v>
      </c>
    </row>
    <row r="5">
      <c r="A5" s="18" t="inlineStr">
        <is>
          <t>AMPM</t>
        </is>
      </c>
      <c r="B5" t="n">
        <v>13.9</v>
      </c>
    </row>
    <row r="6">
      <c r="A6" s="18" t="inlineStr">
        <is>
          <t>בשר</t>
        </is>
      </c>
      <c r="B6" t="n">
        <v>492.01</v>
      </c>
    </row>
    <row r="7">
      <c r="A7" s="18" t="inlineStr">
        <is>
          <t>חצי חינם</t>
        </is>
      </c>
      <c r="B7" t="n">
        <v>389.97</v>
      </c>
    </row>
    <row r="8">
      <c r="A8" s="18" t="inlineStr">
        <is>
          <t>לחם</t>
        </is>
      </c>
      <c r="B8" t="n">
        <v>146.9</v>
      </c>
    </row>
    <row r="9">
      <c r="A9" s="18" t="inlineStr">
        <is>
          <t>מכולת</t>
        </is>
      </c>
      <c r="B9" t="n">
        <v>295.53</v>
      </c>
    </row>
    <row r="10">
      <c r="A10" s="18" t="inlineStr">
        <is>
          <t>פנאי</t>
        </is>
      </c>
      <c r="B10" t="n">
        <v>464.1</v>
      </c>
    </row>
    <row r="11">
      <c r="A11" s="17" t="inlineStr">
        <is>
          <t>ביט</t>
        </is>
      </c>
      <c r="B11" t="n">
        <v>30</v>
      </c>
    </row>
    <row r="12">
      <c r="A12" s="18" t="inlineStr">
        <is>
          <t>(ריק)</t>
        </is>
      </c>
      <c r="B12" t="n">
        <v>30</v>
      </c>
    </row>
    <row r="13">
      <c r="A13" s="17" t="inlineStr">
        <is>
          <t>ביטוח</t>
        </is>
      </c>
      <c r="B13" t="n">
        <v>152</v>
      </c>
    </row>
    <row r="14">
      <c r="A14" s="18" t="inlineStr">
        <is>
          <t>רכב</t>
        </is>
      </c>
      <c r="B14" t="n">
        <v>77</v>
      </c>
    </row>
    <row r="15">
      <c r="A15" s="18" t="inlineStr">
        <is>
          <t>רפואה</t>
        </is>
      </c>
      <c r="B15" t="n">
        <v>75</v>
      </c>
    </row>
    <row r="16">
      <c r="A16" s="17" t="inlineStr">
        <is>
          <t>דירה</t>
        </is>
      </c>
      <c r="B16" t="n">
        <v>1750</v>
      </c>
    </row>
    <row r="17">
      <c r="A17" s="18" t="inlineStr">
        <is>
          <t>ועד בית</t>
        </is>
      </c>
      <c r="B17" t="n">
        <v>250</v>
      </c>
    </row>
    <row r="18">
      <c r="A18" s="18" t="inlineStr">
        <is>
          <t>שכ"ד</t>
        </is>
      </c>
      <c r="B18" t="n">
        <v>1500</v>
      </c>
    </row>
    <row r="19">
      <c r="A19" s="17" t="inlineStr">
        <is>
          <t>חוגים</t>
        </is>
      </c>
      <c r="B19" t="n">
        <v>32</v>
      </c>
    </row>
    <row r="20">
      <c r="A20" s="18" t="inlineStr">
        <is>
          <t>גילי</t>
        </is>
      </c>
      <c r="B20" t="n">
        <v>32</v>
      </c>
    </row>
    <row r="21">
      <c r="A21" s="17" t="inlineStr">
        <is>
          <t>חינוך</t>
        </is>
      </c>
      <c r="B21" t="n">
        <v>20</v>
      </c>
    </row>
    <row r="22">
      <c r="A22" s="18" t="inlineStr">
        <is>
          <t>(ריק)</t>
        </is>
      </c>
      <c r="B22" t="n">
        <v>20</v>
      </c>
    </row>
    <row r="23">
      <c r="A23" s="17" t="inlineStr">
        <is>
          <t>חניה</t>
        </is>
      </c>
      <c r="B23" t="n">
        <v>100</v>
      </c>
    </row>
    <row r="24">
      <c r="A24" s="18" t="inlineStr">
        <is>
          <t>פנאי</t>
        </is>
      </c>
      <c r="B24" t="n">
        <v>100</v>
      </c>
    </row>
    <row r="25">
      <c r="A25" s="17" t="inlineStr">
        <is>
          <t>טואלטיקה</t>
        </is>
      </c>
      <c r="B25" t="n">
        <v>169.83</v>
      </c>
    </row>
    <row r="26">
      <c r="A26" s="18" t="inlineStr">
        <is>
          <t>(ריק)</t>
        </is>
      </c>
      <c r="B26" t="n">
        <v>169.83</v>
      </c>
    </row>
    <row r="27">
      <c r="A27" s="17" t="inlineStr">
        <is>
          <t>מוצרי חשמל</t>
        </is>
      </c>
      <c r="B27" t="n">
        <v>15</v>
      </c>
    </row>
    <row r="28">
      <c r="A28" s="18" t="inlineStr">
        <is>
          <t>מייבש</t>
        </is>
      </c>
      <c r="B28" t="n">
        <v>15</v>
      </c>
    </row>
    <row r="29">
      <c r="A29" s="17" t="inlineStr">
        <is>
          <t>מזומן</t>
        </is>
      </c>
      <c r="B29" t="n">
        <v>400</v>
      </c>
    </row>
    <row r="30">
      <c r="A30" s="18" t="inlineStr">
        <is>
          <t>(ריק)</t>
        </is>
      </c>
      <c r="B30" t="n">
        <v>400</v>
      </c>
    </row>
    <row r="31">
      <c r="A31" s="17" t="inlineStr">
        <is>
          <t>פנאי</t>
        </is>
      </c>
      <c r="B31" t="n">
        <v>1027.91</v>
      </c>
    </row>
    <row r="32">
      <c r="A32" s="18" t="inlineStr">
        <is>
          <t>אקס בוקס</t>
        </is>
      </c>
      <c r="B32" t="n">
        <v>539.8800000000001</v>
      </c>
    </row>
    <row r="33">
      <c r="A33" s="18" t="inlineStr">
        <is>
          <t>טושים</t>
        </is>
      </c>
      <c r="B33" t="n">
        <v>30.54</v>
      </c>
    </row>
    <row r="34">
      <c r="A34" s="18" t="inlineStr">
        <is>
          <t>טלפון</t>
        </is>
      </c>
      <c r="B34" t="n">
        <v>52.49</v>
      </c>
    </row>
    <row r="35">
      <c r="A35" s="18" t="inlineStr">
        <is>
          <t>יצירה</t>
        </is>
      </c>
      <c r="B35" t="n">
        <v>84</v>
      </c>
    </row>
    <row r="36">
      <c r="A36" s="18" t="inlineStr">
        <is>
          <t>מש"צים</t>
        </is>
      </c>
      <c r="B36" t="n">
        <v>321</v>
      </c>
    </row>
    <row r="37">
      <c r="A37" s="17" t="inlineStr">
        <is>
          <t>תספורות</t>
        </is>
      </c>
      <c r="B37" t="n">
        <v>210</v>
      </c>
    </row>
    <row r="38">
      <c r="A38" s="18" t="inlineStr">
        <is>
          <t>(ריק)</t>
        </is>
      </c>
      <c r="B38" t="n">
        <v>210</v>
      </c>
    </row>
    <row r="39">
      <c r="A39" s="17" t="inlineStr">
        <is>
          <t>תקשורת</t>
        </is>
      </c>
      <c r="B39" t="n">
        <v>314</v>
      </c>
    </row>
    <row r="40">
      <c r="A40" s="18" t="inlineStr">
        <is>
          <t>אינטרנט</t>
        </is>
      </c>
      <c r="B40" t="n">
        <v>40</v>
      </c>
    </row>
    <row r="41">
      <c r="A41" s="18" t="inlineStr">
        <is>
          <t>טלוויזיה</t>
        </is>
      </c>
      <c r="B41" t="n">
        <v>99.8</v>
      </c>
    </row>
    <row r="42">
      <c r="A42" s="18" t="inlineStr">
        <is>
          <t>טלפון</t>
        </is>
      </c>
      <c r="B42" t="n">
        <v>174.2</v>
      </c>
    </row>
    <row r="43">
      <c r="A43" s="17" t="inlineStr">
        <is>
          <t>סכום כולל</t>
        </is>
      </c>
      <c r="B43" t="n">
        <v>6023.15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L70"/>
  <sheetViews>
    <sheetView rightToLeft="1" tabSelected="1" workbookViewId="0">
      <selection activeCell="I14" sqref="I14"/>
    </sheetView>
  </sheetViews>
  <sheetFormatPr baseColWidth="8" defaultRowHeight="14.4"/>
  <cols>
    <col width="16.33203125" bestFit="1" customWidth="1" min="1" max="1"/>
    <col width="31.77734375" bestFit="1" customWidth="1" min="2" max="2"/>
    <col width="20.77734375" bestFit="1" customWidth="1" min="3" max="3"/>
    <col width="15.109375" customWidth="1" min="4" max="4"/>
    <col width="16.5546875" bestFit="1" customWidth="1" min="5" max="5"/>
    <col width="16.44140625" bestFit="1" customWidth="1" min="6" max="6"/>
    <col width="18.6640625" bestFit="1" customWidth="1" min="7" max="7"/>
    <col width="17.77734375" bestFit="1" customWidth="1" min="8" max="8"/>
    <col width="16.33203125" bestFit="1" customWidth="1" min="12" max="12"/>
  </cols>
  <sheetData>
    <row r="4">
      <c r="A4" t="inlineStr">
        <is>
          <t>הכנסות</t>
        </is>
      </c>
      <c r="B4" t="inlineStr">
        <is>
          <t>סכום</t>
        </is>
      </c>
      <c r="D4" s="14" t="inlineStr">
        <is>
          <t>יתרת תקציב</t>
        </is>
      </c>
      <c r="E4" s="15">
        <f t="array" ref="E4:E5">B8+טבלה3[סכום]-טבלה2[[#Totals],[סכום חיוב]]</f>
        <v/>
      </c>
      <c r="L4" s="19" t="inlineStr">
        <is>
          <t>סכום התחום שמוצג:</t>
        </is>
      </c>
    </row>
    <row r="5">
      <c r="A5" t="inlineStr">
        <is>
          <t>משכורת</t>
        </is>
      </c>
      <c r="B5" s="2" t="n"/>
      <c r="L5" s="2">
        <f>SUBTOTAL(9, טבלה2[סכום חיוב])</f>
        <v/>
      </c>
    </row>
    <row r="6">
      <c r="A6" t="inlineStr">
        <is>
          <t>קצבת ילדים</t>
        </is>
      </c>
      <c r="B6" s="2" t="n"/>
    </row>
    <row r="7">
      <c r="A7" t="inlineStr">
        <is>
          <t>שונות</t>
        </is>
      </c>
      <c r="B7" s="2" t="n"/>
    </row>
    <row r="8">
      <c r="A8" t="inlineStr">
        <is>
          <t>סה"כ</t>
        </is>
      </c>
      <c r="B8" s="2">
        <f>SUM(B5:B7)</f>
        <v/>
      </c>
    </row>
    <row r="9">
      <c r="B9" s="1" t="n"/>
    </row>
    <row r="10">
      <c r="A10" t="inlineStr">
        <is>
          <t>יתרה</t>
        </is>
      </c>
      <c r="B10" s="2" t="inlineStr">
        <is>
          <t>סכום</t>
        </is>
      </c>
    </row>
    <row r="11">
      <c r="A11" t="inlineStr">
        <is>
          <t>יתרה בתחילת החודש</t>
        </is>
      </c>
      <c r="B11" s="2" t="n"/>
    </row>
    <row r="12">
      <c r="A12" t="inlineStr">
        <is>
          <t>יתרה בסוף החודש</t>
        </is>
      </c>
      <c r="B12" s="2" t="n"/>
    </row>
    <row r="13">
      <c r="B13" s="2" t="n"/>
    </row>
    <row r="15">
      <c r="A15" s="6" t="inlineStr">
        <is>
          <t>תאריך רכישה</t>
        </is>
      </c>
      <c r="B15" s="7" t="inlineStr">
        <is>
          <t>שם בית עסק</t>
        </is>
      </c>
      <c r="C15" s="7" t="inlineStr">
        <is>
          <t>סכום עסקה</t>
        </is>
      </c>
      <c r="D15" s="7" t="inlineStr">
        <is>
          <t>סכום חיוב</t>
        </is>
      </c>
      <c r="E15" s="7" t="inlineStr">
        <is>
          <t>פירוט נוסף</t>
        </is>
      </c>
      <c r="F15" s="7" t="inlineStr">
        <is>
          <t>תחום 1</t>
        </is>
      </c>
      <c r="G15" s="7" t="inlineStr">
        <is>
          <t>תחום 2</t>
        </is>
      </c>
      <c r="H15" s="8" t="inlineStr">
        <is>
          <t>תחום 3</t>
        </is>
      </c>
    </row>
    <row r="16" hidden="1" ht="15" customHeight="1">
      <c r="A16" s="3" t="n"/>
      <c r="B16" s="4" t="n"/>
      <c r="C16" s="9" t="n"/>
      <c r="D16" s="9" t="n"/>
      <c r="E16" s="4" t="n"/>
      <c r="F16" s="4" t="n"/>
      <c r="G16" s="4" t="n"/>
      <c r="H16" s="4" t="n"/>
    </row>
    <row r="17" hidden="1" ht="15" customHeight="1">
      <c r="A17" s="3" t="n"/>
      <c r="B17" s="4" t="n"/>
      <c r="C17" s="9" t="n"/>
      <c r="D17" s="9">
        <f>SUBTOTAL(109,טבלה2[סכום חיוב])</f>
        <v/>
      </c>
      <c r="E17" s="4" t="n"/>
      <c r="F17" s="4" t="n"/>
      <c r="G17" s="4" t="n"/>
      <c r="H17" s="4" t="n"/>
    </row>
    <row r="18" hidden="1" ht="15" customHeight="1">
      <c r="A18" s="3" t="n"/>
      <c r="B18" s="4" t="n"/>
      <c r="C18" s="9" t="n"/>
      <c r="D18" s="9" t="n"/>
      <c r="E18" s="4" t="n"/>
      <c r="F18" s="4" t="n"/>
      <c r="G18" s="4" t="n"/>
      <c r="H18" s="4" t="n"/>
    </row>
    <row r="19" hidden="1" ht="15" customHeight="1">
      <c r="A19" s="3" t="n"/>
      <c r="B19" s="4" t="n"/>
      <c r="C19" s="9" t="n"/>
      <c r="D19" s="9" t="n"/>
      <c r="E19" s="4" t="n"/>
      <c r="F19" s="4" t="n"/>
      <c r="G19" s="4" t="n"/>
      <c r="H19" s="4" t="n"/>
    </row>
    <row r="20" hidden="1" ht="15" customHeight="1">
      <c r="A20" s="3" t="n"/>
      <c r="B20" s="4" t="n"/>
      <c r="C20" s="9" t="n"/>
      <c r="D20" s="9" t="n"/>
      <c r="E20" s="4" t="n"/>
      <c r="F20" s="4" t="n"/>
      <c r="G20" s="4" t="n"/>
      <c r="H20" s="4" t="n"/>
    </row>
    <row r="21" hidden="1" ht="15" customHeight="1">
      <c r="A21" s="4" t="n"/>
      <c r="B21" s="4" t="n"/>
      <c r="C21" s="9" t="n"/>
      <c r="D21" s="9" t="n"/>
      <c r="E21" s="4" t="n"/>
      <c r="F21" s="4" t="n"/>
      <c r="G21" s="4" t="n"/>
      <c r="H21" s="4" t="n"/>
    </row>
    <row r="22" ht="15" customHeight="1">
      <c r="A22" s="4" t="n"/>
      <c r="B22" s="4" t="n"/>
      <c r="C22" s="9" t="n"/>
      <c r="D22" s="9" t="n"/>
      <c r="E22" s="4" t="n"/>
      <c r="F22" s="4" t="n"/>
      <c r="G22" s="4" t="n"/>
      <c r="H22" s="4" t="n"/>
    </row>
    <row r="23" hidden="1" ht="15" customHeight="1">
      <c r="A23" s="3" t="n"/>
      <c r="B23" s="4" t="n"/>
      <c r="C23" s="9" t="n"/>
      <c r="D23" s="9" t="n"/>
      <c r="E23" s="4" t="n"/>
      <c r="F23" s="4" t="n"/>
      <c r="G23" s="4" t="n"/>
      <c r="H23" s="4" t="n"/>
    </row>
    <row r="24" hidden="1" ht="15" customHeight="1">
      <c r="A24" s="3" t="n"/>
      <c r="B24" s="4" t="n"/>
      <c r="C24" s="9" t="n"/>
      <c r="D24" s="9" t="n"/>
      <c r="E24" s="4" t="n"/>
      <c r="F24" s="5" t="n"/>
      <c r="G24" s="4" t="n"/>
      <c r="H24" s="4" t="n"/>
    </row>
    <row r="25" hidden="1" ht="15" customHeight="1">
      <c r="A25" s="3" t="n"/>
      <c r="B25" s="4" t="n"/>
      <c r="C25" s="9" t="n"/>
      <c r="D25" s="9" t="n"/>
      <c r="E25" s="4" t="n"/>
      <c r="F25" s="4" t="n"/>
      <c r="G25" s="4" t="n"/>
      <c r="H25" s="4" t="n"/>
    </row>
    <row r="26" hidden="1" ht="15" customHeight="1">
      <c r="A26" s="3" t="n"/>
      <c r="B26" s="4" t="n"/>
      <c r="C26" s="9" t="n"/>
      <c r="D26" s="9" t="n"/>
      <c r="E26" s="4" t="n"/>
      <c r="F26" s="4" t="n"/>
      <c r="G26" s="4" t="n"/>
      <c r="H26" s="4" t="n"/>
    </row>
    <row r="27" hidden="1" ht="15" customHeight="1">
      <c r="A27" s="3" t="n"/>
      <c r="B27" s="4" t="n"/>
      <c r="C27" s="9" t="n"/>
      <c r="D27" s="9" t="n"/>
      <c r="E27" s="4" t="n"/>
      <c r="F27" s="4" t="n"/>
      <c r="G27" s="4" t="n"/>
      <c r="H27" s="4" t="n"/>
    </row>
    <row r="28" hidden="1" ht="15" customHeight="1">
      <c r="A28" s="3" t="n"/>
      <c r="B28" s="4" t="n"/>
      <c r="C28" s="9" t="n"/>
      <c r="D28" s="9" t="n"/>
      <c r="E28" s="4" t="n"/>
      <c r="F28" s="4" t="n"/>
      <c r="G28" s="4" t="n"/>
      <c r="H28" s="4" t="n"/>
    </row>
    <row r="29" hidden="1" ht="15" customHeight="1">
      <c r="A29" s="3" t="n"/>
      <c r="B29" s="4" t="n"/>
      <c r="C29" s="9" t="n"/>
      <c r="D29" s="9" t="n"/>
      <c r="E29" s="4" t="n"/>
      <c r="F29" s="4" t="n"/>
      <c r="G29" s="4" t="n"/>
      <c r="H29" s="4" t="n"/>
    </row>
    <row r="30" hidden="1" ht="15" customHeight="1">
      <c r="A30" s="3" t="n"/>
      <c r="B30" s="4" t="n"/>
      <c r="C30" s="9" t="n"/>
      <c r="D30" s="9" t="n"/>
      <c r="E30" s="4" t="n"/>
      <c r="F30" s="4" t="n"/>
      <c r="G30" s="4" t="n"/>
      <c r="H30" s="4" t="n"/>
    </row>
    <row r="31" hidden="1" ht="15" customHeight="1">
      <c r="A31" s="3" t="n"/>
      <c r="B31" s="4" t="n"/>
      <c r="C31" s="9" t="n"/>
      <c r="D31" s="9" t="n"/>
      <c r="E31" s="4" t="n"/>
      <c r="F31" s="4" t="n"/>
      <c r="G31" s="4" t="n"/>
      <c r="H31" s="4" t="n"/>
    </row>
    <row r="32" hidden="1" ht="15" customHeight="1">
      <c r="A32" s="3" t="n"/>
      <c r="B32" s="4" t="n"/>
      <c r="C32" s="9" t="n"/>
      <c r="D32" s="9" t="n"/>
      <c r="E32" s="4" t="n"/>
      <c r="F32" s="4" t="n"/>
      <c r="G32" s="4" t="n"/>
      <c r="H32" s="4" t="n"/>
    </row>
    <row r="33" hidden="1" ht="15" customHeight="1">
      <c r="A33" s="3" t="n"/>
      <c r="B33" s="4" t="n"/>
      <c r="C33" s="9" t="n"/>
      <c r="D33" s="9" t="n"/>
      <c r="E33" s="4" t="n"/>
      <c r="F33" s="4" t="n"/>
      <c r="G33" s="4" t="n"/>
      <c r="H33" s="4" t="n"/>
    </row>
    <row r="34" hidden="1" ht="15" customHeight="1">
      <c r="A34" s="3" t="n"/>
      <c r="B34" s="4" t="n"/>
      <c r="C34" s="9" t="n"/>
      <c r="D34" s="9" t="n"/>
      <c r="E34" s="4" t="n"/>
      <c r="F34" s="4" t="n"/>
      <c r="G34" s="4" t="n"/>
      <c r="H34" s="4" t="n"/>
    </row>
    <row r="35" hidden="1" ht="15" customHeight="1">
      <c r="A35" s="3" t="n"/>
      <c r="B35" s="4" t="n"/>
      <c r="C35" s="9" t="n"/>
      <c r="D35" s="9" t="n"/>
      <c r="E35" s="4" t="n"/>
      <c r="F35" s="4" t="n"/>
      <c r="G35" s="4" t="n"/>
      <c r="H35" s="4" t="n"/>
    </row>
    <row r="36" hidden="1" ht="15" customHeight="1">
      <c r="A36" s="3" t="n"/>
      <c r="B36" s="4" t="n"/>
      <c r="C36" s="9" t="n"/>
      <c r="D36" s="9" t="n"/>
      <c r="E36" s="4" t="n"/>
      <c r="F36" s="4" t="n"/>
      <c r="G36" s="4" t="n"/>
      <c r="H36" s="4" t="n"/>
    </row>
    <row r="37" hidden="1" ht="15" customHeight="1">
      <c r="A37" s="3" t="n"/>
      <c r="B37" s="4" t="n"/>
      <c r="C37" s="9" t="n"/>
      <c r="D37" s="9" t="n"/>
      <c r="E37" s="4" t="n"/>
      <c r="F37" s="4" t="n"/>
      <c r="G37" s="4" t="n"/>
      <c r="H37" s="4" t="n"/>
    </row>
    <row r="38" hidden="1" ht="15" customHeight="1">
      <c r="A38" s="3" t="n"/>
      <c r="B38" s="4" t="n"/>
      <c r="C38" s="9" t="n"/>
      <c r="D38" s="9" t="n"/>
      <c r="E38" s="4" t="n"/>
      <c r="F38" s="4" t="n"/>
      <c r="G38" s="4" t="n"/>
      <c r="H38" s="4" t="n"/>
    </row>
    <row r="39" hidden="1" ht="15" customHeight="1">
      <c r="A39" s="3" t="n"/>
      <c r="B39" s="4" t="n"/>
      <c r="C39" s="9" t="n"/>
      <c r="D39" s="9" t="n"/>
      <c r="E39" s="4" t="n"/>
      <c r="F39" s="4" t="n"/>
      <c r="G39" s="4" t="n"/>
      <c r="H39" s="4" t="n"/>
    </row>
    <row r="40" hidden="1" ht="15" customHeight="1">
      <c r="A40" s="10" t="n"/>
      <c r="B40" s="5" t="n"/>
      <c r="C40" s="9" t="n"/>
      <c r="D40" s="9" t="n"/>
      <c r="E40" s="5" t="n"/>
      <c r="F40" s="5" t="n"/>
      <c r="G40" s="5" t="n"/>
      <c r="H40" s="5" t="n"/>
    </row>
    <row r="41" ht="15" customHeight="1">
      <c r="A41" s="3" t="n"/>
      <c r="B41" s="4" t="n"/>
      <c r="C41" s="9" t="n"/>
      <c r="D41" s="9" t="n"/>
      <c r="E41" s="4" t="n"/>
      <c r="F41" s="4" t="n"/>
      <c r="G41" s="4" t="n"/>
      <c r="H41" s="4" t="n"/>
    </row>
    <row r="42" hidden="1" ht="15" customHeight="1">
      <c r="A42" s="3" t="n"/>
      <c r="B42" s="4" t="n"/>
      <c r="C42" s="9" t="n"/>
      <c r="D42" s="9" t="n"/>
      <c r="E42" s="4" t="n"/>
      <c r="F42" s="4" t="n"/>
      <c r="G42" s="4" t="n"/>
      <c r="H42" s="4" t="n"/>
    </row>
    <row r="43" hidden="1" ht="15" customHeight="1">
      <c r="A43" s="3" t="n"/>
      <c r="B43" s="4" t="n"/>
      <c r="C43" s="9" t="n"/>
      <c r="D43" s="9" t="n"/>
      <c r="E43" s="4" t="n"/>
      <c r="F43" s="4" t="n"/>
      <c r="G43" s="4" t="n"/>
      <c r="H43" s="4" t="n"/>
    </row>
    <row r="44" ht="15" customHeight="1">
      <c r="A44" s="3" t="n"/>
      <c r="B44" s="4" t="n"/>
      <c r="C44" s="9" t="n"/>
      <c r="D44" s="9" t="n"/>
      <c r="E44" s="4" t="n"/>
      <c r="F44" s="4" t="n"/>
      <c r="G44" s="4" t="n"/>
      <c r="H44" s="4" t="n"/>
    </row>
    <row r="45" hidden="1" ht="15" customHeight="1">
      <c r="A45" s="3" t="n"/>
      <c r="B45" s="4" t="n"/>
      <c r="C45" s="9" t="n"/>
      <c r="D45" s="9" t="n"/>
      <c r="E45" s="4" t="n"/>
      <c r="F45" s="4" t="n"/>
      <c r="G45" s="4" t="n"/>
      <c r="H45" s="4" t="n"/>
    </row>
    <row r="46" ht="15" customHeight="1">
      <c r="A46" s="3" t="n"/>
      <c r="B46" s="4" t="n"/>
      <c r="C46" s="9" t="n"/>
      <c r="D46" s="9" t="n"/>
      <c r="E46" s="4" t="n"/>
      <c r="F46" s="4" t="n"/>
      <c r="G46" s="4" t="n"/>
      <c r="H46" s="4" t="n"/>
    </row>
    <row r="47" hidden="1" ht="15" customHeight="1">
      <c r="A47" s="3" t="n"/>
      <c r="B47" s="4" t="n"/>
      <c r="C47" s="9" t="n"/>
      <c r="D47" s="9" t="n"/>
      <c r="E47" s="4" t="n"/>
      <c r="F47" s="4" t="n"/>
      <c r="G47" s="4" t="n"/>
      <c r="H47" s="4" t="n"/>
    </row>
    <row r="48" hidden="1" ht="15" customHeight="1">
      <c r="A48" s="3" t="n"/>
      <c r="B48" s="4" t="n"/>
      <c r="C48" s="9" t="n"/>
      <c r="D48" s="9" t="n"/>
      <c r="E48" s="4" t="n"/>
      <c r="F48" s="4" t="n"/>
      <c r="G48" s="4" t="n"/>
      <c r="H48" s="4" t="n"/>
    </row>
    <row r="49" hidden="1" ht="15" customHeight="1">
      <c r="A49" s="3" t="n"/>
      <c r="B49" s="4" t="n"/>
      <c r="C49" s="9" t="n"/>
      <c r="D49" s="9" t="n"/>
      <c r="E49" s="4" t="n"/>
      <c r="F49" s="4" t="n"/>
      <c r="G49" s="4" t="n"/>
      <c r="H49" s="4" t="n"/>
    </row>
    <row r="50" ht="15" customHeight="1">
      <c r="A50" s="3" t="n"/>
      <c r="B50" s="4" t="n"/>
      <c r="C50" s="9" t="n"/>
      <c r="D50" s="9" t="n"/>
      <c r="E50" s="4" t="n"/>
      <c r="F50" s="4" t="n"/>
      <c r="G50" s="4" t="n"/>
      <c r="H50" s="4" t="n"/>
    </row>
    <row r="51" ht="15" customHeight="1">
      <c r="A51" s="3" t="n"/>
      <c r="B51" s="4" t="n"/>
      <c r="C51" s="9" t="n"/>
      <c r="D51" s="9" t="n"/>
      <c r="E51" s="4" t="n"/>
      <c r="F51" s="4" t="n"/>
      <c r="G51" s="4" t="n"/>
      <c r="H51" s="4" t="n"/>
    </row>
    <row r="52" ht="15" customHeight="1">
      <c r="A52" s="3" t="n"/>
      <c r="B52" s="4" t="n"/>
      <c r="C52" s="9" t="n"/>
      <c r="D52" s="9" t="n"/>
      <c r="E52" s="4" t="n"/>
      <c r="F52" s="4" t="n"/>
      <c r="G52" s="4" t="n"/>
      <c r="H52" s="4" t="n"/>
    </row>
    <row r="53" ht="15" customHeight="1">
      <c r="A53" s="3" t="n"/>
      <c r="B53" s="4" t="n"/>
      <c r="C53" s="9" t="n"/>
      <c r="D53" s="9" t="n"/>
      <c r="E53" s="4" t="n"/>
      <c r="F53" s="4" t="n"/>
      <c r="G53" s="4" t="n"/>
      <c r="H53" s="4" t="n"/>
    </row>
    <row r="54" ht="15" customHeight="1">
      <c r="A54" s="3" t="n"/>
      <c r="B54" s="4" t="n"/>
      <c r="C54" s="9" t="n"/>
      <c r="D54" s="9" t="n"/>
      <c r="E54" s="4" t="n"/>
      <c r="F54" s="4" t="n"/>
      <c r="G54" s="4" t="n"/>
      <c r="H54" s="4" t="n"/>
    </row>
    <row r="55" ht="15" customHeight="1">
      <c r="A55" s="3" t="n"/>
      <c r="B55" s="4" t="n"/>
      <c r="C55" s="9" t="n"/>
      <c r="D55" s="9" t="n"/>
      <c r="E55" s="4" t="n"/>
      <c r="F55" s="4" t="n"/>
      <c r="G55" s="4" t="n"/>
      <c r="H55" s="4" t="n"/>
    </row>
    <row r="56" hidden="1" ht="15" customHeight="1">
      <c r="A56" s="3" t="n"/>
      <c r="B56" s="4" t="n"/>
      <c r="C56" s="9" t="n"/>
      <c r="D56" s="9" t="n"/>
      <c r="E56" s="4" t="n"/>
      <c r="F56" s="4" t="n"/>
      <c r="G56" s="4" t="n"/>
      <c r="H56" s="4" t="n"/>
    </row>
    <row r="57" hidden="1" ht="15" customHeight="1">
      <c r="A57" s="3" t="n"/>
      <c r="B57" s="4" t="n"/>
      <c r="C57" s="9" t="n"/>
      <c r="D57" s="9" t="n"/>
      <c r="E57" s="4" t="n"/>
      <c r="F57" s="4" t="n"/>
      <c r="G57" s="4" t="n"/>
      <c r="H57" s="4" t="n"/>
    </row>
    <row r="58" ht="15" customHeight="1">
      <c r="A58" s="3" t="n"/>
      <c r="B58" s="4" t="n"/>
      <c r="C58" s="9" t="n"/>
      <c r="D58" s="9" t="n"/>
      <c r="E58" s="4" t="n"/>
      <c r="F58" s="4" t="n"/>
      <c r="G58" s="4" t="n"/>
      <c r="H58" s="4" t="n"/>
    </row>
    <row r="59" ht="15" customHeight="1">
      <c r="A59" s="3" t="n"/>
      <c r="B59" s="4" t="n"/>
      <c r="C59" s="9" t="n"/>
      <c r="D59" s="9" t="n"/>
      <c r="E59" s="4" t="n"/>
      <c r="F59" s="4" t="n"/>
      <c r="G59" s="4" t="n"/>
      <c r="H59" s="4" t="n"/>
    </row>
    <row r="60" ht="15" customHeight="1">
      <c r="A60" s="3" t="n"/>
      <c r="B60" s="4" t="n"/>
      <c r="C60" s="9" t="n"/>
      <c r="D60" s="9" t="n"/>
      <c r="E60" s="4" t="n"/>
      <c r="F60" s="4" t="n"/>
      <c r="G60" s="4" t="n"/>
      <c r="H60" s="4" t="n"/>
    </row>
    <row r="61" ht="15" customHeight="1">
      <c r="A61" s="3" t="n"/>
      <c r="B61" s="4" t="n"/>
      <c r="C61" s="9" t="n"/>
      <c r="D61" s="9" t="n"/>
      <c r="E61" s="4" t="n"/>
      <c r="F61" s="4" t="n"/>
      <c r="G61" s="4" t="n"/>
      <c r="H61" s="4" t="n"/>
    </row>
    <row r="62" hidden="1" ht="15" customHeight="1">
      <c r="A62" s="3" t="n"/>
      <c r="B62" s="4" t="n"/>
      <c r="C62" s="9" t="n"/>
      <c r="D62" s="9" t="n"/>
      <c r="E62" s="4" t="n"/>
      <c r="F62" s="4" t="n"/>
      <c r="G62" s="4" t="n"/>
      <c r="H62" s="4" t="n"/>
    </row>
    <row r="63" ht="15" customHeight="1">
      <c r="A63" s="3" t="n"/>
      <c r="B63" s="4" t="n"/>
      <c r="C63" s="9" t="n"/>
      <c r="D63" s="9" t="n"/>
      <c r="E63" s="4" t="n"/>
      <c r="F63" s="4" t="n"/>
      <c r="G63" s="4" t="n"/>
      <c r="H63" s="4" t="n"/>
    </row>
    <row r="64" ht="15" customHeight="1">
      <c r="A64" s="3" t="n"/>
      <c r="B64" s="4" t="n"/>
      <c r="C64" s="9" t="n"/>
      <c r="D64" s="9" t="n"/>
      <c r="E64" s="4" t="n"/>
      <c r="F64" s="4" t="n"/>
      <c r="G64" s="4" t="n"/>
      <c r="H64" s="4" t="n"/>
    </row>
    <row r="65" ht="15" customHeight="1">
      <c r="A65" s="3" t="n"/>
      <c r="B65" s="4" t="n"/>
      <c r="C65" s="9" t="n"/>
      <c r="D65" s="9" t="n"/>
      <c r="E65" s="4" t="n"/>
      <c r="F65" s="4" t="n"/>
      <c r="G65" s="4" t="n"/>
      <c r="H65" s="4" t="n"/>
    </row>
    <row r="66" ht="15" customHeight="1">
      <c r="A66" s="3" t="n"/>
      <c r="B66" s="4" t="n"/>
      <c r="C66" s="9" t="n"/>
      <c r="D66" s="9" t="n"/>
      <c r="E66" s="4" t="n"/>
      <c r="F66" s="4" t="n"/>
      <c r="G66" s="4" t="n"/>
      <c r="H66" s="4" t="n"/>
    </row>
    <row r="67" ht="15" customHeight="1">
      <c r="A67" s="3" t="n"/>
      <c r="B67" s="4" t="n"/>
      <c r="C67" s="9" t="n"/>
      <c r="D67" s="9" t="n"/>
      <c r="E67" s="4" t="n"/>
      <c r="F67" s="4" t="n"/>
      <c r="G67" s="4" t="n"/>
      <c r="H67" s="4" t="n"/>
    </row>
    <row r="68" ht="15" customHeight="1">
      <c r="A68" s="3" t="n"/>
      <c r="B68" s="4" t="n"/>
      <c r="C68" s="9" t="n"/>
      <c r="D68" s="9" t="n"/>
      <c r="E68" s="4" t="n"/>
      <c r="F68" s="4" t="n"/>
      <c r="G68" s="4" t="n"/>
      <c r="H68" s="4" t="n"/>
    </row>
    <row r="69" ht="15" customHeight="1">
      <c r="A69" s="3" t="n"/>
      <c r="B69" s="4" t="n"/>
      <c r="C69" s="9" t="n"/>
      <c r="D69" s="9" t="n"/>
      <c r="E69" s="4" t="n"/>
      <c r="F69" s="4" t="n"/>
      <c r="G69" s="4" t="n"/>
      <c r="H69" s="4" t="n"/>
    </row>
    <row r="70" ht="15" customHeight="1">
      <c r="A70" s="11" t="n"/>
      <c r="B70" s="12" t="n"/>
      <c r="C70" s="13" t="n"/>
      <c r="D70" s="13" t="n"/>
      <c r="E70" s="12" t="n"/>
      <c r="F70" s="12" t="n"/>
      <c r="G70" s="12" t="n"/>
      <c r="H70" s="12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TGs</dc:creator>
  <dcterms:created xsi:type="dcterms:W3CDTF">2015-06-05T18:19:34Z</dcterms:created>
  <dcterms:modified xsi:type="dcterms:W3CDTF">2026-09-28T18:21:41Z</dcterms:modified>
  <cp:lastModifiedBy>גילי תלמי-גרנות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2024-10-22T16:58:17Z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02567295-b83b-4c17-b8b6-955c7be510b6</vt:lpwstr>
  </property>
  <property name="MSIP_Label_defa4170-0d19-0005-0004-bc88714345d2_ActionId" fmtid="{D5CDD505-2E9C-101B-9397-08002B2CF9AE}" pid="7">
    <vt:lpwstr>c4ffe6d1-44f1-433d-b88c-34a47f0961e3</vt:lpwstr>
  </property>
  <property name="MSIP_Label_defa4170-0d19-0005-0004-bc88714345d2_ContentBits" fmtid="{D5CDD505-2E9C-101B-9397-08002B2CF9AE}" pid="8">
    <vt:lpwstr>0</vt:lpwstr>
  </property>
</Properties>
</file>